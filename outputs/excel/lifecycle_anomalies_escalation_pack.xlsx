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ade\DataOps-Projects\Project-Asset-Lifecycle-Monitoring\outputs\excel\"/>
    </mc:Choice>
  </mc:AlternateContent>
  <xr:revisionPtr revIDLastSave="0" documentId="13_ncr:1_{F3C7A1B1-BA78-4C81-86F7-79B70E4DE2D1}" xr6:coauthVersionLast="47" xr6:coauthVersionMax="47" xr10:uidLastSave="{00000000-0000-0000-0000-000000000000}"/>
  <bookViews>
    <workbookView xWindow="-110" yWindow="-110" windowWidth="19420" windowHeight="10300" xr2:uid="{B2CEC1E7-B157-4969-9113-5206017CF838}"/>
  </bookViews>
  <sheets>
    <sheet name="Anomalies" sheetId="2" r:id="rId1"/>
    <sheet name="Summary" sheetId="3" r:id="rId2"/>
  </sheets>
  <definedNames>
    <definedName name="_xlnm._FilterDatabase" localSheetId="0" hidden="1">Anomalies!$A$1:$O$7</definedName>
  </definedNames>
  <calcPr calcId="0"/>
  <pivotCaches>
    <pivotCache cacheId="8" r:id="rId3"/>
  </pivotCaches>
</workbook>
</file>

<file path=xl/sharedStrings.xml><?xml version="1.0" encoding="utf-8"?>
<sst xmlns="http://schemas.openxmlformats.org/spreadsheetml/2006/main" count="80" uniqueCount="48">
  <si>
    <t>anomaly_type</t>
  </si>
  <si>
    <t>severity</t>
  </si>
  <si>
    <t>meter_id</t>
  </si>
  <si>
    <t>meter_type</t>
  </si>
  <si>
    <t>region</t>
  </si>
  <si>
    <t>status</t>
  </si>
  <si>
    <t>install_date</t>
  </si>
  <si>
    <t>removal_date</t>
  </si>
  <si>
    <t>event_id</t>
  </si>
  <si>
    <t>event_type</t>
  </si>
  <si>
    <t>event_date</t>
  </si>
  <si>
    <t>reading_value</t>
  </si>
  <si>
    <t>new_status</t>
  </si>
  <si>
    <t>source_table</t>
  </si>
  <si>
    <t>rule_description</t>
  </si>
  <si>
    <t>REMOVED_WITHOUT_DATE</t>
  </si>
  <si>
    <t>HIGH</t>
  </si>
  <si>
    <t>MTR006</t>
  </si>
  <si>
    <t>ELEC</t>
  </si>
  <si>
    <t>North</t>
  </si>
  <si>
    <t>REMOVED</t>
  </si>
  <si>
    <t>meter_asset</t>
  </si>
  <si>
    <t>Asset status REMOVED but removal_date is NULL</t>
  </si>
  <si>
    <t>REMOVAL_BEFORE_INSTALL</t>
  </si>
  <si>
    <t>CRITICAL</t>
  </si>
  <si>
    <t>MTR003</t>
  </si>
  <si>
    <t>London</t>
  </si>
  <si>
    <t>ACTIVE</t>
  </si>
  <si>
    <t>removal_date &lt; install_date</t>
  </si>
  <si>
    <t>EVENT_BEFORE_INSTALL</t>
  </si>
  <si>
    <t>MTR001</t>
  </si>
  <si>
    <t>East</t>
  </si>
  <si>
    <t>READING</t>
  </si>
  <si>
    <t>meter_event</t>
  </si>
  <si>
    <t>event_date &lt; install_date</t>
  </si>
  <si>
    <t>EVENT_AFTER_REMOVAL</t>
  </si>
  <si>
    <t>STATUS_CHANGE</t>
  </si>
  <si>
    <t>event_date &gt; removal_date (asset should be inactive)</t>
  </si>
  <si>
    <t>NEGATIVE_READING</t>
  </si>
  <si>
    <t>MTR002</t>
  </si>
  <si>
    <t>reading_value &lt; 0 for READING events</t>
  </si>
  <si>
    <t>STATUS_MISMATCH</t>
  </si>
  <si>
    <t>meter_asset + meter_event</t>
  </si>
  <si>
    <t>Asset status differs from STATUS_CHANGE event new_status</t>
  </si>
  <si>
    <t>Row Labels</t>
  </si>
  <si>
    <t>Grand Total</t>
  </si>
  <si>
    <t>Anomalies by Severity</t>
  </si>
  <si>
    <t>Anomalies by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</si>
</sst>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NumberFormat="1" applyFill="1"/>
    <xf numFmtId="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0000"/>
        </patternFill>
      </fill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gbade Odimayo" refreshedDate="46052.560144560186" createdVersion="8" refreshedVersion="8" minRefreshableVersion="3" recordCount="6" xr:uid="{3F44C5BF-2FC7-4402-8626-F7F7095174D9}">
  <cacheSource type="worksheet">
    <worksheetSource name="Table1"/>
  </cacheSource>
  <cacheFields count="15">
    <cacheField name="anomaly_type" numFmtId="0">
      <sharedItems count="6">
        <s v="REMOVED_WITHOUT_DATE"/>
        <s v="REMOVAL_BEFORE_INSTALL"/>
        <s v="EVENT_BEFORE_INSTALL"/>
        <s v="EVENT_AFTER_REMOVAL"/>
        <s v="NEGATIVE_READING"/>
        <s v="STATUS_MISMATCH"/>
      </sharedItems>
    </cacheField>
    <cacheField name="severity" numFmtId="0">
      <sharedItems count="2">
        <s v="HIGH"/>
        <s v="CRITICAL"/>
      </sharedItems>
    </cacheField>
    <cacheField name="meter_id" numFmtId="0">
      <sharedItems/>
    </cacheField>
    <cacheField name="meter_type" numFmtId="0">
      <sharedItems containsBlank="1"/>
    </cacheField>
    <cacheField name="region" numFmtId="0">
      <sharedItems containsBlank="1"/>
    </cacheField>
    <cacheField name="status" numFmtId="0">
      <sharedItems containsBlank="1"/>
    </cacheField>
    <cacheField name="install_date" numFmtId="0">
      <sharedItems containsNonDate="0" containsDate="1" containsString="0" containsBlank="1" minDate="2024-01-10T00:00:00" maxDate="2024-06-02T00:00:00"/>
    </cacheField>
    <cacheField name="removal_date" numFmtId="0">
      <sharedItems containsNonDate="0" containsDate="1" containsString="0" containsBlank="1" minDate="2024-02-15T00:00:00" maxDate="2024-02-16T00:00:00"/>
    </cacheField>
    <cacheField name="event_id" numFmtId="0">
      <sharedItems containsString="0" containsBlank="1" containsNumber="1" containsInteger="1" minValue="2" maxValue="4"/>
    </cacheField>
    <cacheField name="event_type" numFmtId="0">
      <sharedItems containsBlank="1"/>
    </cacheField>
    <cacheField name="event_date" numFmtId="0">
      <sharedItems containsNonDate="0" containsDate="1" containsString="0" containsBlank="1" minDate="2023-12-20T00:00:00" maxDate="2024-03-11T00:00:00"/>
    </cacheField>
    <cacheField name="reading_value" numFmtId="0">
      <sharedItems containsString="0" containsBlank="1" containsNumber="1" minValue="-45.7" maxValue="130.1"/>
    </cacheField>
    <cacheField name="new_status" numFmtId="0">
      <sharedItems containsBlank="1"/>
    </cacheField>
    <cacheField name="source_table" numFmtId="0">
      <sharedItems/>
    </cacheField>
    <cacheField name="rule_descrip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MTR006"/>
    <s v="ELEC"/>
    <s v="North"/>
    <s v="REMOVED"/>
    <d v="2024-06-01T00:00:00"/>
    <m/>
    <m/>
    <m/>
    <m/>
    <m/>
    <m/>
    <s v="meter_asset"/>
    <s v="Asset status REMOVED but removal_date is NULL"/>
  </r>
  <r>
    <x v="1"/>
    <x v="1"/>
    <s v="MTR003"/>
    <s v="ELEC"/>
    <s v="London"/>
    <s v="ACTIVE"/>
    <d v="2024-03-01T00:00:00"/>
    <d v="2024-02-15T00:00:00"/>
    <m/>
    <m/>
    <m/>
    <m/>
    <m/>
    <s v="meter_asset"/>
    <s v="removal_date &lt; install_date"/>
  </r>
  <r>
    <x v="2"/>
    <x v="0"/>
    <s v="MTR001"/>
    <s v="ELEC"/>
    <s v="East"/>
    <s v="ACTIVE"/>
    <d v="2024-01-10T00:00:00"/>
    <m/>
    <n v="2"/>
    <s v="READING"/>
    <d v="2023-12-20T00:00:00"/>
    <n v="130.1"/>
    <m/>
    <s v="meter_event"/>
    <s v="event_date &lt; install_date"/>
  </r>
  <r>
    <x v="3"/>
    <x v="1"/>
    <s v="MTR003"/>
    <s v="ELEC"/>
    <s v="London"/>
    <s v="ACTIVE"/>
    <d v="2024-03-01T00:00:00"/>
    <d v="2024-02-15T00:00:00"/>
    <n v="4"/>
    <s v="STATUS_CHANGE"/>
    <d v="2024-03-10T00:00:00"/>
    <m/>
    <s v="REMOVED"/>
    <s v="meter_event"/>
    <s v="event_date &gt; removal_date (asset should be inactive)"/>
  </r>
  <r>
    <x v="4"/>
    <x v="0"/>
    <s v="MTR002"/>
    <m/>
    <m/>
    <m/>
    <m/>
    <m/>
    <n v="3"/>
    <s v="READING"/>
    <d v="2024-02-10T00:00:00"/>
    <n v="-45.7"/>
    <m/>
    <s v="meter_event"/>
    <s v="reading_value &lt; 0 for READING events"/>
  </r>
  <r>
    <x v="5"/>
    <x v="1"/>
    <s v="MTR003"/>
    <s v="ELEC"/>
    <s v="London"/>
    <s v="ACTIVE"/>
    <d v="2024-03-01T00:00:00"/>
    <d v="2024-02-15T00:00:00"/>
    <n v="4"/>
    <s v="STATUS_CHANGE"/>
    <d v="2024-03-10T00:00:00"/>
    <m/>
    <s v="REMOVED"/>
    <s v="meter_asset + meter_event"/>
    <s v="Asset status differs from STATUS_CHANGE event new_statu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30B25-CE43-467F-AFCF-F2DAD49AE8F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5" firstHeaderRow="1" firstDataRow="1" firstDataCol="1"/>
  <pivotFields count="15">
    <pivotField axis="axisRow" dataField="1" showAll="0" sortType="descending">
      <items count="7">
        <item x="5"/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nomalies by Typ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6D41E-42C7-4B17-A378-A72C7E7CC26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5">
    <pivotField dataField="1" showAll="0">
      <items count="7">
        <item x="3"/>
        <item x="2"/>
        <item x="4"/>
        <item x="1"/>
        <item x="0"/>
        <item x="5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nomalies by Severity" fld="0" subtotal="count" baseField="1" baseItem="0"/>
  </dataFields>
  <formats count="2">
    <format dxfId="7">
      <pivotArea collapsedLevelsAreSubtotals="1" fieldPosition="0">
        <references count="1">
          <reference field="1" count="1">
            <x v="0"/>
          </reference>
        </references>
      </pivotArea>
    </format>
    <format dxfId="6">
      <pivotArea collapsedLevelsAreSubtotals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399C5-8FE1-470C-B345-DCB64B15CDEF}" name="Table1" displayName="Table1" ref="A1:O7" totalsRowShown="0">
  <autoFilter ref="A1:O7" xr:uid="{E2B696DA-0D43-4734-A2C4-4005105D2F63}"/>
  <tableColumns count="15">
    <tableColumn id="1" xr3:uid="{62641EE7-901C-49B5-ADEA-6A3F989C8F43}" name="anomaly_type"/>
    <tableColumn id="2" xr3:uid="{616CEC33-CA0F-4A47-9366-9AE26A3595B9}" name="severity"/>
    <tableColumn id="3" xr3:uid="{73CE48B4-E368-4463-9AAF-11F5F9754FBC}" name="meter_id"/>
    <tableColumn id="4" xr3:uid="{8FC6F781-3F5D-40D5-BF4E-1C0A24438892}" name="meter_type"/>
    <tableColumn id="5" xr3:uid="{10B6FF1A-14BE-4FB8-810C-F24D97349511}" name="region"/>
    <tableColumn id="6" xr3:uid="{35236143-96F4-4A57-A7DC-0872E23F833B}" name="status"/>
    <tableColumn id="7" xr3:uid="{63379531-739B-419B-A3E1-A21FDA60E260}" name="install_date" dataDxfId="10"/>
    <tableColumn id="8" xr3:uid="{41CC163C-9905-45C4-BB1C-A669B0D3D510}" name="removal_date" dataDxfId="9"/>
    <tableColumn id="9" xr3:uid="{EE8A6FDE-60C2-4DC9-BE6D-35FCC0A7FCD1}" name="event_id"/>
    <tableColumn id="10" xr3:uid="{F37CB210-A5A1-4726-A768-6E16053D2508}" name="event_type"/>
    <tableColumn id="11" xr3:uid="{943285E7-2E99-4D44-ACD4-B56B09DBEB2D}" name="event_date" dataDxfId="8"/>
    <tableColumn id="12" xr3:uid="{A9D97BE1-4373-4EC2-90B0-313AEB7A2A90}" name="reading_value"/>
    <tableColumn id="13" xr3:uid="{75ADA091-C441-4C79-9563-C3F60A59402E}" name="new_status"/>
    <tableColumn id="14" xr3:uid="{849E44A2-3C85-4C95-B815-5BF11AA27BD4}" name="source_table"/>
    <tableColumn id="15" xr3:uid="{11042E0D-3860-44AA-96C7-D85DD48D4526}" name="rule_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96DA-0D43-4734-A2C4-4005105D2F63}">
  <dimension ref="A1:O7"/>
  <sheetViews>
    <sheetView tabSelected="1" workbookViewId="0">
      <pane ySplit="1" topLeftCell="A2" activePane="bottomLeft" state="frozen"/>
      <selection pane="bottomLeft" activeCell="D13" sqref="A1:XFD1048576"/>
    </sheetView>
  </sheetViews>
  <sheetFormatPr defaultRowHeight="14.5" x14ac:dyDescent="0.35"/>
  <cols>
    <col min="1" max="1" width="23.81640625" bestFit="1" customWidth="1"/>
    <col min="2" max="2" width="9.36328125" bestFit="1" customWidth="1"/>
    <col min="3" max="3" width="10.1796875" bestFit="1" customWidth="1"/>
    <col min="4" max="4" width="12.1796875" bestFit="1" customWidth="1"/>
    <col min="5" max="5" width="8.08984375" bestFit="1" customWidth="1"/>
    <col min="6" max="6" width="9.08984375" bestFit="1" customWidth="1"/>
    <col min="7" max="7" width="12.6328125" customWidth="1"/>
    <col min="8" max="8" width="14.08984375" customWidth="1"/>
    <col min="9" max="9" width="9.90625" customWidth="1"/>
    <col min="10" max="10" width="15.08984375" bestFit="1" customWidth="1"/>
    <col min="11" max="11" width="12" bestFit="1" customWidth="1"/>
    <col min="12" max="12" width="14.453125" customWidth="1"/>
    <col min="13" max="13" width="12.26953125" bestFit="1" customWidth="1"/>
    <col min="14" max="14" width="23" bestFit="1" customWidth="1"/>
    <col min="15" max="15" width="50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45444</v>
      </c>
      <c r="N2" t="s">
        <v>21</v>
      </c>
      <c r="O2" t="s">
        <v>22</v>
      </c>
    </row>
    <row r="3" spans="1:15" x14ac:dyDescent="0.35">
      <c r="A3" t="s">
        <v>23</v>
      </c>
      <c r="B3" t="s">
        <v>24</v>
      </c>
      <c r="C3" t="s">
        <v>25</v>
      </c>
      <c r="D3" t="s">
        <v>18</v>
      </c>
      <c r="E3" t="s">
        <v>26</v>
      </c>
      <c r="F3" t="s">
        <v>27</v>
      </c>
      <c r="G3" s="1">
        <v>45352</v>
      </c>
      <c r="H3" s="1">
        <v>45337</v>
      </c>
      <c r="N3" t="s">
        <v>21</v>
      </c>
      <c r="O3" t="s">
        <v>28</v>
      </c>
    </row>
    <row r="4" spans="1:15" x14ac:dyDescent="0.35">
      <c r="A4" t="s">
        <v>29</v>
      </c>
      <c r="B4" t="s">
        <v>16</v>
      </c>
      <c r="C4" t="s">
        <v>30</v>
      </c>
      <c r="D4" t="s">
        <v>18</v>
      </c>
      <c r="E4" t="s">
        <v>31</v>
      </c>
      <c r="F4" t="s">
        <v>27</v>
      </c>
      <c r="G4" s="1">
        <v>45301</v>
      </c>
      <c r="I4">
        <v>2</v>
      </c>
      <c r="J4" t="s">
        <v>32</v>
      </c>
      <c r="K4" s="1">
        <v>45280</v>
      </c>
      <c r="L4">
        <v>130.1</v>
      </c>
      <c r="N4" t="s">
        <v>33</v>
      </c>
      <c r="O4" t="s">
        <v>34</v>
      </c>
    </row>
    <row r="5" spans="1:15" x14ac:dyDescent="0.35">
      <c r="A5" t="s">
        <v>35</v>
      </c>
      <c r="B5" t="s">
        <v>24</v>
      </c>
      <c r="C5" t="s">
        <v>25</v>
      </c>
      <c r="D5" t="s">
        <v>18</v>
      </c>
      <c r="E5" t="s">
        <v>26</v>
      </c>
      <c r="F5" t="s">
        <v>27</v>
      </c>
      <c r="G5" s="1">
        <v>45352</v>
      </c>
      <c r="H5" s="1">
        <v>45337</v>
      </c>
      <c r="I5">
        <v>4</v>
      </c>
      <c r="J5" t="s">
        <v>36</v>
      </c>
      <c r="K5" s="1">
        <v>45361</v>
      </c>
      <c r="M5" t="s">
        <v>20</v>
      </c>
      <c r="N5" t="s">
        <v>33</v>
      </c>
      <c r="O5" t="s">
        <v>37</v>
      </c>
    </row>
    <row r="6" spans="1:15" x14ac:dyDescent="0.35">
      <c r="A6" t="s">
        <v>38</v>
      </c>
      <c r="B6" t="s">
        <v>16</v>
      </c>
      <c r="C6" t="s">
        <v>39</v>
      </c>
      <c r="I6">
        <v>3</v>
      </c>
      <c r="J6" t="s">
        <v>32</v>
      </c>
      <c r="K6" s="1">
        <v>45332</v>
      </c>
      <c r="L6">
        <v>-45.7</v>
      </c>
      <c r="N6" t="s">
        <v>33</v>
      </c>
      <c r="O6" t="s">
        <v>40</v>
      </c>
    </row>
    <row r="7" spans="1:15" x14ac:dyDescent="0.35">
      <c r="A7" t="s">
        <v>41</v>
      </c>
      <c r="B7" t="s">
        <v>24</v>
      </c>
      <c r="C7" t="s">
        <v>25</v>
      </c>
      <c r="D7" t="s">
        <v>18</v>
      </c>
      <c r="E7" t="s">
        <v>26</v>
      </c>
      <c r="F7" t="s">
        <v>27</v>
      </c>
      <c r="G7" s="1">
        <v>45352</v>
      </c>
      <c r="H7" s="1">
        <v>45337</v>
      </c>
      <c r="I7">
        <v>4</v>
      </c>
      <c r="J7" t="s">
        <v>36</v>
      </c>
      <c r="K7" s="1">
        <v>45361</v>
      </c>
      <c r="M7" t="s">
        <v>20</v>
      </c>
      <c r="N7" t="s">
        <v>42</v>
      </c>
      <c r="O7" t="s">
        <v>43</v>
      </c>
    </row>
  </sheetData>
  <conditionalFormatting sqref="B1:B1048576">
    <cfRule type="cellIs" dxfId="3" priority="3" operator="equal">
      <formula>"CRITICAL"</formula>
    </cfRule>
    <cfRule type="cellIs" dxfId="4" priority="2" operator="equal">
      <formula>"HIGH"</formula>
    </cfRule>
    <cfRule type="cellIs" dxfId="2" priority="1" operator="equal">
      <formula>"MEDIUM"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13F3-C7AC-4D49-A2CB-A0487B8CC185}">
  <dimension ref="A1:B15"/>
  <sheetViews>
    <sheetView workbookViewId="0">
      <selection activeCell="D6" sqref="D6"/>
    </sheetView>
  </sheetViews>
  <sheetFormatPr defaultRowHeight="14.5" x14ac:dyDescent="0.35"/>
  <cols>
    <col min="1" max="1" width="23.81640625" bestFit="1" customWidth="1"/>
    <col min="2" max="2" width="19.26953125" bestFit="1" customWidth="1"/>
  </cols>
  <sheetData>
    <row r="1" spans="1:2" x14ac:dyDescent="0.35">
      <c r="A1" s="2" t="s">
        <v>44</v>
      </c>
      <c r="B1" t="s">
        <v>46</v>
      </c>
    </row>
    <row r="2" spans="1:2" x14ac:dyDescent="0.35">
      <c r="A2" s="3" t="s">
        <v>24</v>
      </c>
      <c r="B2" s="5">
        <v>3</v>
      </c>
    </row>
    <row r="3" spans="1:2" x14ac:dyDescent="0.35">
      <c r="A3" s="3" t="s">
        <v>16</v>
      </c>
      <c r="B3" s="6">
        <v>3</v>
      </c>
    </row>
    <row r="4" spans="1:2" x14ac:dyDescent="0.35">
      <c r="A4" s="3" t="s">
        <v>45</v>
      </c>
      <c r="B4" s="4">
        <v>6</v>
      </c>
    </row>
    <row r="8" spans="1:2" x14ac:dyDescent="0.35">
      <c r="A8" s="2" t="s">
        <v>44</v>
      </c>
      <c r="B8" t="s">
        <v>47</v>
      </c>
    </row>
    <row r="9" spans="1:2" x14ac:dyDescent="0.35">
      <c r="A9" s="3" t="s">
        <v>41</v>
      </c>
      <c r="B9" s="4">
        <v>1</v>
      </c>
    </row>
    <row r="10" spans="1:2" x14ac:dyDescent="0.35">
      <c r="A10" s="3" t="s">
        <v>15</v>
      </c>
      <c r="B10" s="4">
        <v>1</v>
      </c>
    </row>
    <row r="11" spans="1:2" x14ac:dyDescent="0.35">
      <c r="A11" s="3" t="s">
        <v>23</v>
      </c>
      <c r="B11" s="4">
        <v>1</v>
      </c>
    </row>
    <row r="12" spans="1:2" x14ac:dyDescent="0.35">
      <c r="A12" s="3" t="s">
        <v>38</v>
      </c>
      <c r="B12" s="4">
        <v>1</v>
      </c>
    </row>
    <row r="13" spans="1:2" x14ac:dyDescent="0.35">
      <c r="A13" s="3" t="s">
        <v>29</v>
      </c>
      <c r="B13" s="4">
        <v>1</v>
      </c>
    </row>
    <row r="14" spans="1:2" x14ac:dyDescent="0.35">
      <c r="A14" s="3" t="s">
        <v>35</v>
      </c>
      <c r="B14" s="4">
        <v>1</v>
      </c>
    </row>
    <row r="15" spans="1:2" x14ac:dyDescent="0.35">
      <c r="A15" s="3" t="s">
        <v>45</v>
      </c>
      <c r="B15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Anomalies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Oluwagbade Odimayo</dc:creator>
  <cp:lastModifiedBy>Oluwagbade Odimayo</cp:lastModifiedBy>
  <dcterms:created xsi:type="dcterms:W3CDTF">2026-01-30T11:15:14Z</dcterms:created>
  <dcterms:modified xsi:type="dcterms:W3CDTF">2026-01-30T15:27:19Z</dcterms:modified>
</cp:coreProperties>
</file>